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i\Google Drive\R\Crypto\"/>
    </mc:Choice>
  </mc:AlternateContent>
  <xr:revisionPtr revIDLastSave="0" documentId="13_ncr:1_{B75061CA-C748-44A6-A827-BBAA0AD677BC}" xr6:coauthVersionLast="46" xr6:coauthVersionMax="46" xr10:uidLastSave="{00000000-0000-0000-0000-000000000000}"/>
  <bookViews>
    <workbookView xWindow="-120" yWindow="-120" windowWidth="29040" windowHeight="15840" xr2:uid="{E06CB8A9-B011-42F8-A318-7A0919F75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1" l="1"/>
  <c r="D7" i="1"/>
  <c r="D11" i="1"/>
  <c r="D12" i="1"/>
  <c r="D8" i="1"/>
  <c r="D6" i="1"/>
  <c r="D4" i="1"/>
  <c r="D2" i="1"/>
</calcChain>
</file>

<file path=xl/sharedStrings.xml><?xml version="1.0" encoding="utf-8"?>
<sst xmlns="http://schemas.openxmlformats.org/spreadsheetml/2006/main" count="62" uniqueCount="50">
  <si>
    <t>coin</t>
  </si>
  <si>
    <t>symbol</t>
  </si>
  <si>
    <t>Bitcoin</t>
  </si>
  <si>
    <t>BTC</t>
  </si>
  <si>
    <t>Bitcoin cash</t>
  </si>
  <si>
    <t>BCH</t>
  </si>
  <si>
    <t>Litecoin</t>
  </si>
  <si>
    <t>LTC</t>
  </si>
  <si>
    <t>Monero</t>
  </si>
  <si>
    <t>XMR</t>
  </si>
  <si>
    <t>Ethereum</t>
  </si>
  <si>
    <t>ETH</t>
  </si>
  <si>
    <t>Cardano</t>
  </si>
  <si>
    <t>ADA</t>
  </si>
  <si>
    <t>Chainlink</t>
  </si>
  <si>
    <t>LINK</t>
  </si>
  <si>
    <t>DOT</t>
  </si>
  <si>
    <t>Polkadot</t>
  </si>
  <si>
    <t>XLM</t>
  </si>
  <si>
    <t>THETA</t>
  </si>
  <si>
    <t>Theta Network</t>
  </si>
  <si>
    <t>CEL</t>
  </si>
  <si>
    <t>VGX</t>
  </si>
  <si>
    <t>Voyager Token</t>
  </si>
  <si>
    <t>SNX</t>
  </si>
  <si>
    <t>Synthetix Network Token</t>
  </si>
  <si>
    <t>COMP</t>
  </si>
  <si>
    <t>Compound</t>
  </si>
  <si>
    <t>AAVE</t>
  </si>
  <si>
    <t>Aave</t>
  </si>
  <si>
    <t>UNI</t>
  </si>
  <si>
    <t>Uniswap</t>
  </si>
  <si>
    <t>hold</t>
  </si>
  <si>
    <t>wallet_initial</t>
  </si>
  <si>
    <t>Celsius Network Token</t>
  </si>
  <si>
    <t>Stellar</t>
  </si>
  <si>
    <t>where</t>
  </si>
  <si>
    <t>Ledger</t>
  </si>
  <si>
    <t>kraken.com</t>
  </si>
  <si>
    <t>Daedalus wallet connected via Ledger [staked]</t>
  </si>
  <si>
    <t>bitladon.com</t>
  </si>
  <si>
    <t>bitladon.com [stacked]</t>
  </si>
  <si>
    <t>Lending in Celsius Network App [bought on kraken.com]</t>
  </si>
  <si>
    <t>CHZ</t>
  </si>
  <si>
    <t>binance.com</t>
  </si>
  <si>
    <t>Chiliz</t>
  </si>
  <si>
    <t>Ripple</t>
  </si>
  <si>
    <t>XRP</t>
  </si>
  <si>
    <t>Elrond</t>
  </si>
  <si>
    <t>EGLD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</si>
</sst>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F314-EF9B-493D-95DC-F537FCD36819}">
  <dimension ref="A1:E20"/>
  <sheetViews>
    <sheetView tabSelected="1" workbookViewId="0">
      <selection activeCell="E23" sqref="E23"/>
    </sheetView>
  </sheetViews>
  <sheetFormatPr defaultRowHeight="15" x14ac:dyDescent="0.25"/>
  <cols>
    <col min="1" max="1" width="23.85546875" bestFit="1" customWidth="1"/>
    <col min="3" max="3" width="18.7109375" customWidth="1"/>
    <col min="4" max="4" width="12.7109375" bestFit="1" customWidth="1"/>
    <col min="5" max="5" width="43.140625" bestFit="1" customWidth="1"/>
  </cols>
  <sheetData>
    <row r="1" spans="1:5" x14ac:dyDescent="0.25">
      <c r="A1" t="s">
        <v>0</v>
      </c>
      <c r="B1" t="s">
        <v>1</v>
      </c>
      <c r="C1" t="s">
        <v>32</v>
      </c>
      <c r="D1" t="s">
        <v>33</v>
      </c>
      <c r="E1" t="s">
        <v>36</v>
      </c>
    </row>
    <row r="2" spans="1:5" x14ac:dyDescent="0.25">
      <c r="A2" t="s">
        <v>2</v>
      </c>
      <c r="B2" t="s">
        <v>3</v>
      </c>
      <c r="C2" s="2">
        <v>0.59714160999999999</v>
      </c>
      <c r="D2" s="1">
        <f>50 + 8 + 3.21 + 300 + 180 + 150 + 100 + 250 + 150 + 200 + 250</f>
        <v>1641.21</v>
      </c>
      <c r="E2" t="s">
        <v>37</v>
      </c>
    </row>
    <row r="3" spans="1:5" x14ac:dyDescent="0.25">
      <c r="A3" t="s">
        <v>4</v>
      </c>
      <c r="B3" t="s">
        <v>5</v>
      </c>
      <c r="C3" s="2">
        <v>0.35507443999999999</v>
      </c>
      <c r="D3" s="1">
        <v>0</v>
      </c>
      <c r="E3" t="s">
        <v>37</v>
      </c>
    </row>
    <row r="4" spans="1:5" x14ac:dyDescent="0.25">
      <c r="A4" t="s">
        <v>6</v>
      </c>
      <c r="B4" t="s">
        <v>7</v>
      </c>
      <c r="C4" s="2">
        <v>2.5804068600000001</v>
      </c>
      <c r="D4" s="1">
        <f>30 + 75 + 20</f>
        <v>125</v>
      </c>
      <c r="E4" t="s">
        <v>37</v>
      </c>
    </row>
    <row r="5" spans="1:5" x14ac:dyDescent="0.25">
      <c r="A5" t="s">
        <v>8</v>
      </c>
      <c r="B5" t="s">
        <v>9</v>
      </c>
      <c r="C5" s="2">
        <v>2.2294499999999999</v>
      </c>
      <c r="D5" s="1">
        <v>250</v>
      </c>
      <c r="E5" t="s">
        <v>38</v>
      </c>
    </row>
    <row r="6" spans="1:5" x14ac:dyDescent="0.25">
      <c r="A6" t="s">
        <v>10</v>
      </c>
      <c r="B6" t="s">
        <v>11</v>
      </c>
      <c r="C6" s="2">
        <v>3.4252287300000002</v>
      </c>
      <c r="D6" s="1">
        <f>30 + 75 + 100 + 80 + 200 + 75 + 250</f>
        <v>810</v>
      </c>
      <c r="E6" t="s">
        <v>37</v>
      </c>
    </row>
    <row r="7" spans="1:5" x14ac:dyDescent="0.25">
      <c r="A7" t="s">
        <v>12</v>
      </c>
      <c r="B7" t="s">
        <v>13</v>
      </c>
      <c r="C7" s="2">
        <v>6004.4949999999999</v>
      </c>
      <c r="D7" s="1">
        <f>450 + 200 + 750 + 600</f>
        <v>2000</v>
      </c>
      <c r="E7" t="s">
        <v>39</v>
      </c>
    </row>
    <row r="8" spans="1:5" x14ac:dyDescent="0.25">
      <c r="A8" t="s">
        <v>14</v>
      </c>
      <c r="B8" t="s">
        <v>15</v>
      </c>
      <c r="C8" s="2">
        <v>15.84736</v>
      </c>
      <c r="D8" s="1">
        <f>150 + 50</f>
        <v>200</v>
      </c>
      <c r="E8" t="s">
        <v>42</v>
      </c>
    </row>
    <row r="9" spans="1:5" x14ac:dyDescent="0.25">
      <c r="A9" t="s">
        <v>17</v>
      </c>
      <c r="B9" t="s">
        <v>16</v>
      </c>
      <c r="C9" s="2">
        <v>29.366210370000001</v>
      </c>
      <c r="D9" s="1">
        <v>200</v>
      </c>
      <c r="E9" t="s">
        <v>38</v>
      </c>
    </row>
    <row r="10" spans="1:5" x14ac:dyDescent="0.25">
      <c r="A10" t="s">
        <v>35</v>
      </c>
      <c r="B10" t="s">
        <v>18</v>
      </c>
      <c r="C10" s="2">
        <v>195.41336999999999</v>
      </c>
      <c r="D10" s="1">
        <v>50</v>
      </c>
      <c r="E10" t="s">
        <v>42</v>
      </c>
    </row>
    <row r="11" spans="1:5" x14ac:dyDescent="0.25">
      <c r="A11" t="s">
        <v>20</v>
      </c>
      <c r="B11" t="s">
        <v>19</v>
      </c>
      <c r="C11" s="2">
        <v>356.48906232000002</v>
      </c>
      <c r="D11" s="1">
        <f>125 + 200 + 500</f>
        <v>825</v>
      </c>
      <c r="E11" t="s">
        <v>40</v>
      </c>
    </row>
    <row r="12" spans="1:5" x14ac:dyDescent="0.25">
      <c r="A12" t="s">
        <v>34</v>
      </c>
      <c r="B12" t="s">
        <v>21</v>
      </c>
      <c r="C12" s="2">
        <v>17.212471839999999</v>
      </c>
      <c r="D12" s="1">
        <f>75</f>
        <v>75</v>
      </c>
      <c r="E12" t="s">
        <v>41</v>
      </c>
    </row>
    <row r="13" spans="1:5" x14ac:dyDescent="0.25">
      <c r="A13" t="s">
        <v>23</v>
      </c>
      <c r="B13" t="s">
        <v>22</v>
      </c>
      <c r="C13" s="2">
        <v>1130.21662593</v>
      </c>
      <c r="D13" s="1">
        <f>200 + 400 + 400 + 1000 + 300+200</f>
        <v>2500</v>
      </c>
      <c r="E13" t="s">
        <v>40</v>
      </c>
    </row>
    <row r="14" spans="1:5" x14ac:dyDescent="0.25">
      <c r="A14" t="s">
        <v>25</v>
      </c>
      <c r="B14" t="s">
        <v>24</v>
      </c>
      <c r="C14" s="2">
        <v>6.6684653300000001</v>
      </c>
      <c r="D14" s="1">
        <v>100</v>
      </c>
      <c r="E14" t="s">
        <v>40</v>
      </c>
    </row>
    <row r="15" spans="1:5" x14ac:dyDescent="0.25">
      <c r="A15" t="s">
        <v>27</v>
      </c>
      <c r="B15" t="s">
        <v>26</v>
      </c>
      <c r="C15" s="2">
        <v>0.44692056000000002</v>
      </c>
      <c r="D15" s="1">
        <v>100</v>
      </c>
      <c r="E15" t="s">
        <v>40</v>
      </c>
    </row>
    <row r="16" spans="1:5" x14ac:dyDescent="0.25">
      <c r="A16" t="s">
        <v>29</v>
      </c>
      <c r="B16" t="s">
        <v>28</v>
      </c>
      <c r="C16" s="2">
        <v>1.0367200000000001</v>
      </c>
      <c r="D16" s="1">
        <v>250</v>
      </c>
      <c r="E16" t="s">
        <v>42</v>
      </c>
    </row>
    <row r="17" spans="1:5" x14ac:dyDescent="0.25">
      <c r="A17" t="s">
        <v>31</v>
      </c>
      <c r="B17" t="s">
        <v>30</v>
      </c>
      <c r="C17" s="2">
        <v>20.356380000000001</v>
      </c>
      <c r="D17" s="1">
        <v>250</v>
      </c>
      <c r="E17" t="s">
        <v>38</v>
      </c>
    </row>
    <row r="18" spans="1:5" x14ac:dyDescent="0.25">
      <c r="A18" t="s">
        <v>45</v>
      </c>
      <c r="B18" t="s">
        <v>43</v>
      </c>
      <c r="C18" s="2">
        <v>1018.35063</v>
      </c>
      <c r="D18" s="1">
        <v>500</v>
      </c>
      <c r="E18" t="s">
        <v>44</v>
      </c>
    </row>
    <row r="19" spans="1:5" x14ac:dyDescent="0.25">
      <c r="A19" t="s">
        <v>46</v>
      </c>
      <c r="B19" t="s">
        <v>47</v>
      </c>
      <c r="C19">
        <v>606.37733000000003</v>
      </c>
      <c r="D19" s="1">
        <v>300</v>
      </c>
      <c r="E19" t="s">
        <v>38</v>
      </c>
    </row>
    <row r="20" spans="1:5" x14ac:dyDescent="0.25">
      <c r="A20" t="s">
        <v>48</v>
      </c>
      <c r="B20" t="s">
        <v>49</v>
      </c>
      <c r="C20">
        <v>1.55074</v>
      </c>
      <c r="D20">
        <v>250</v>
      </c>
      <c r="E20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Schmitz</dc:creator>
  <cp:lastModifiedBy>Mathias Schmitz</cp:lastModifiedBy>
  <dcterms:created xsi:type="dcterms:W3CDTF">2021-02-13T11:05:58Z</dcterms:created>
  <dcterms:modified xsi:type="dcterms:W3CDTF">2021-05-13T11:45:28Z</dcterms:modified>
</cp:coreProperties>
</file>